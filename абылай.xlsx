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ylai\Downloads\Telegram Desktop\"/>
    </mc:Choice>
  </mc:AlternateContent>
  <xr:revisionPtr revIDLastSave="0" documentId="8_{E621AC1C-7C25-4003-80ED-156092F97FE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Задание 1" sheetId="1" r:id="rId1"/>
    <sheet name="Задание 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<sst xmlns="http://schemas.openxmlformats.org/spreadsheetml/2006/main" count="49" uniqueCount="41">
  <si>
    <t>Средняя температура по месяцам</t>
  </si>
  <si>
    <t>Регион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</si>
  <si>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</si>
  <si>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</si>
  <si>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</si>
  <si>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</si>
  <si>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</si>
  <si>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</si>
  <si>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</si>
  <si>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</si>
  <si>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</si>
  <si>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</si>
  <si>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</si>
  <si>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</si>
  <si>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Среднее</t>
  </si>
  <si>
    <t>Киев</t>
  </si>
  <si>
    <t>Житомир</t>
  </si>
  <si>
    <t>Харьков</t>
  </si>
  <si>
    <t>Днепропетровск</t>
  </si>
  <si>
    <t>Одесса</t>
  </si>
  <si>
    <t>Симферополь</t>
  </si>
  <si>
    <t>Учет состояния товара на складе фирмы "Рога и копыта"</t>
  </si>
  <si>
    <t>Текущая дата:</t>
  </si>
  <si>
    <t>Наименование
товара</t>
  </si>
  <si>
    <t>Единицы
измерения</t>
  </si>
  <si>
    <t>Дата
изготовления</t>
  </si>
  <si>
    <t>Срок хранения
(мес.)</t>
  </si>
  <si>
    <t>Сколько месяцев
товар лежит
на складе?</t>
  </si>
  <si>
    <t>Действия
с товаром</t>
  </si>
  <si>
    <t>Конфеты "Батончик"</t>
  </si>
  <si>
    <t>коробка</t>
  </si>
  <si>
    <t>Печенье "Юбилейное"</t>
  </si>
  <si>
    <t>пачка</t>
  </si>
  <si>
    <t>Конфеты "Белочка"</t>
  </si>
  <si>
    <t>Конфеты "К чаю"</t>
  </si>
  <si>
    <t>Конфеты "Космос"</t>
  </si>
  <si>
    <t>Печенье "Овсяное"</t>
  </si>
  <si>
    <t>Печенье "Дамское"</t>
  </si>
  <si>
    <t>Конфеты "Вечерние"</t>
  </si>
  <si>
    <t>Печенье "Лакомка"</t>
  </si>
  <si>
    <t>Печенье "Южное"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</si>
</sst>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.mm\.yy"/>
  </numFmts>
  <fonts count="4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b/>
      <sz val="11"/>
      <name val="Cambria"/>
      <charset val="1"/>
    </font>
    <font>
      <b/>
      <sz val="11"/>
      <color rgb="FFFF0000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0" borderId="0" xfId="0" applyFont="1"/>
    <xf numFmtId="164" fontId="3" fillId="0" borderId="0" xfId="0" applyNumberFormat="1" applyFon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3B3B3"/>
      <rgbColor rgb="FF878787"/>
      <rgbColor rgb="FF93A9CE"/>
      <rgbColor rgb="FFAB4744"/>
      <rgbColor rgb="FFFFFFCC"/>
      <rgbColor rgb="FFB8CD97"/>
      <rgbColor rgb="FF660066"/>
      <rgbColor rgb="FFDC853E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2C3D5"/>
      <rgbColor rgb="FFD09493"/>
      <rgbColor rgb="FFCC99FF"/>
      <rgbColor rgb="FFF8B590"/>
      <rgbColor rgb="FF4672A8"/>
      <rgbColor rgb="FF4BACC6"/>
      <rgbColor rgb="FF9BBB59"/>
      <rgbColor rgb="FFFFCC00"/>
      <rgbColor rgb="FFF79646"/>
      <rgbColor rgb="FFFF6600"/>
      <rgbColor rgb="FF725990"/>
      <rgbColor rgb="FFA99BBD"/>
      <rgbColor rgb="FF003366"/>
      <rgbColor rgb="FF4299B0"/>
      <rgbColor rgb="FF003300"/>
      <rgbColor rgb="FF333300"/>
      <rgbColor rgb="FF993300"/>
      <rgbColor rgb="FFC0504D"/>
      <rgbColor rgb="FF8064A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Температура по месяцам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1'!$B$2</c:f>
              <c:strCache>
                <c:ptCount val="1"/>
                <c:pt idx="0">
                  <c:v>Январь</c:v>
                </c:pt>
              </c:strCache>
            </c:strRef>
          </c:tx>
          <c:spPr>
            <a:solidFill>
              <a:srgbClr val="4672A8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1'!$B$3:$B$8</c:f>
              <c:numCache>
                <c:formatCode>General</c:formatCode>
                <c:ptCount val="6"/>
                <c:pt idx="0">
                  <c:v>-11</c:v>
                </c:pt>
                <c:pt idx="1">
                  <c:v>-10</c:v>
                </c:pt>
                <c:pt idx="2">
                  <c:v>-8</c:v>
                </c:pt>
                <c:pt idx="3">
                  <c:v>-9</c:v>
                </c:pt>
                <c:pt idx="4">
                  <c:v>-5</c:v>
                </c:pt>
                <c:pt idx="5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A-4A74-BF21-0E2EBD09FC17}"/>
            </c:ext>
          </c:extLst>
        </c:ser>
        <c:ser>
          <c:idx val="1"/>
          <c:order val="1"/>
          <c:tx>
            <c:strRef>
              <c:f>'Задание 1'!$C$2</c:f>
              <c:strCache>
                <c:ptCount val="1"/>
                <c:pt idx="0">
                  <c:v>Февраль</c:v>
                </c:pt>
              </c:strCache>
            </c:strRef>
          </c:tx>
          <c:spPr>
            <a:solidFill>
              <a:srgbClr val="AB4744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1'!$C$3:$C$8</c:f>
              <c:numCache>
                <c:formatCode>General</c:formatCode>
                <c:ptCount val="6"/>
                <c:pt idx="0">
                  <c:v>-5</c:v>
                </c:pt>
                <c:pt idx="1">
                  <c:v>-5</c:v>
                </c:pt>
                <c:pt idx="2">
                  <c:v>-6</c:v>
                </c:pt>
                <c:pt idx="3">
                  <c:v>-5</c:v>
                </c:pt>
                <c:pt idx="4">
                  <c:v>-1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CA-4A74-BF21-0E2EBD09FC17}"/>
            </c:ext>
          </c:extLst>
        </c:ser>
        <c:ser>
          <c:idx val="2"/>
          <c:order val="2"/>
          <c:tx>
            <c:strRef>
              <c:f>'Задание 1'!$D$2</c:f>
              <c:strCache>
                <c:ptCount val="1"/>
                <c:pt idx="0">
                  <c:v>Март</c:v>
                </c:pt>
              </c:strCache>
            </c:strRef>
          </c:tx>
          <c:spPr>
            <a:solidFill>
              <a:srgbClr val="8AA64F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1'!$D$3:$D$8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CA-4A74-BF21-0E2EBD09FC17}"/>
            </c:ext>
          </c:extLst>
        </c:ser>
        <c:ser>
          <c:idx val="3"/>
          <c:order val="3"/>
          <c:tx>
            <c:strRef>
              <c:f>'Задание 1'!$E$2</c:f>
              <c:strCache>
                <c:ptCount val="1"/>
                <c:pt idx="0">
                  <c:v>Апрель</c:v>
                </c:pt>
              </c:strCache>
            </c:strRef>
          </c:tx>
          <c:spPr>
            <a:solidFill>
              <a:srgbClr val="725990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1'!$E$3:$E$8</c:f>
              <c:numCache>
                <c:formatCode>General</c:formatCode>
                <c:ptCount val="6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CA-4A74-BF21-0E2EBD09FC17}"/>
            </c:ext>
          </c:extLst>
        </c:ser>
        <c:ser>
          <c:idx val="4"/>
          <c:order val="4"/>
          <c:tx>
            <c:strRef>
              <c:f>'Задание 1'!$F$2</c:f>
              <c:strCache>
                <c:ptCount val="1"/>
                <c:pt idx="0">
                  <c:v>Май</c:v>
                </c:pt>
              </c:strCache>
            </c:strRef>
          </c:tx>
          <c:spPr>
            <a:solidFill>
              <a:srgbClr val="4299B0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1'!$F$3:$F$8</c:f>
              <c:numCache>
                <c:formatCode>General</c:formatCode>
                <c:ptCount val="6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CA-4A74-BF21-0E2EBD09FC17}"/>
            </c:ext>
          </c:extLst>
        </c:ser>
        <c:ser>
          <c:idx val="5"/>
          <c:order val="5"/>
          <c:tx>
            <c:strRef>
              <c:f>'Задание 1'!$G$2</c:f>
              <c:strCache>
                <c:ptCount val="1"/>
                <c:pt idx="0">
                  <c:v>Июнь</c:v>
                </c:pt>
              </c:strCache>
            </c:strRef>
          </c:tx>
          <c:spPr>
            <a:solidFill>
              <a:srgbClr val="DC853E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1'!$G$3:$G$8</c:f>
              <c:numCache>
                <c:formatCode>General</c:formatCode>
                <c:ptCount val="6"/>
                <c:pt idx="0">
                  <c:v>24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CA-4A74-BF21-0E2EBD09FC17}"/>
            </c:ext>
          </c:extLst>
        </c:ser>
        <c:ser>
          <c:idx val="6"/>
          <c:order val="6"/>
          <c:tx>
            <c:strRef>
              <c:f>'Задание 1'!$H$2</c:f>
              <c:strCache>
                <c:ptCount val="1"/>
                <c:pt idx="0">
                  <c:v>Июль</c:v>
                </c:pt>
              </c:strCache>
            </c:strRef>
          </c:tx>
          <c:spPr>
            <a:solidFill>
              <a:srgbClr val="93A9CE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1'!$H$3:$H$8</c:f>
              <c:numCache>
                <c:formatCode>General</c:formatCode>
                <c:ptCount val="6"/>
                <c:pt idx="0">
                  <c:v>26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CA-4A74-BF21-0E2EBD09FC17}"/>
            </c:ext>
          </c:extLst>
        </c:ser>
        <c:ser>
          <c:idx val="7"/>
          <c:order val="7"/>
          <c:tx>
            <c:strRef>
              <c:f>'Задание 1'!$I$2</c:f>
              <c:strCache>
                <c:ptCount val="1"/>
                <c:pt idx="0">
                  <c:v>Август</c:v>
                </c:pt>
              </c:strCache>
            </c:strRef>
          </c:tx>
          <c:spPr>
            <a:solidFill>
              <a:srgbClr val="D09493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1'!$I$3:$I$8</c:f>
              <c:numCache>
                <c:formatCode>General</c:formatCode>
                <c:ptCount val="6"/>
                <c:pt idx="0">
                  <c:v>25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CA-4A74-BF21-0E2EBD09FC17}"/>
            </c:ext>
          </c:extLst>
        </c:ser>
        <c:ser>
          <c:idx val="8"/>
          <c:order val="8"/>
          <c:tx>
            <c:strRef>
              <c:f>'Задание 1'!$J$2</c:f>
              <c:strCache>
                <c:ptCount val="1"/>
                <c:pt idx="0">
                  <c:v>Сентябрь</c:v>
                </c:pt>
              </c:strCache>
            </c:strRef>
          </c:tx>
          <c:spPr>
            <a:solidFill>
              <a:srgbClr val="B8CD97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1'!$J$3:$J$8</c:f>
              <c:numCache>
                <c:formatCode>General</c:formatCode>
                <c:ptCount val="6"/>
                <c:pt idx="0">
                  <c:v>18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21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CA-4A74-BF21-0E2EBD09FC17}"/>
            </c:ext>
          </c:extLst>
        </c:ser>
        <c:ser>
          <c:idx val="9"/>
          <c:order val="9"/>
          <c:tx>
            <c:strRef>
              <c:f>'Задание 1'!$K$2</c:f>
              <c:strCache>
                <c:ptCount val="1"/>
                <c:pt idx="0">
                  <c:v>Октябрь</c:v>
                </c:pt>
              </c:strCache>
            </c:strRef>
          </c:tx>
          <c:spPr>
            <a:solidFill>
              <a:srgbClr val="A99BBD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1'!$K$3:$K$8</c:f>
              <c:numCache>
                <c:formatCode>General</c:formatCode>
                <c:ptCount val="6"/>
                <c:pt idx="0">
                  <c:v>9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13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CA-4A74-BF21-0E2EBD09FC17}"/>
            </c:ext>
          </c:extLst>
        </c:ser>
        <c:ser>
          <c:idx val="10"/>
          <c:order val="10"/>
          <c:tx>
            <c:strRef>
              <c:f>'Задание 1'!$L$2</c:f>
              <c:strCache>
                <c:ptCount val="1"/>
                <c:pt idx="0">
                  <c:v>Ноябрь</c:v>
                </c:pt>
              </c:strCache>
            </c:strRef>
          </c:tx>
          <c:spPr>
            <a:solidFill>
              <a:srgbClr val="92C3D5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1'!$L$3:$L$8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CA-4A74-BF21-0E2EBD09FC17}"/>
            </c:ext>
          </c:extLst>
        </c:ser>
        <c:ser>
          <c:idx val="11"/>
          <c:order val="11"/>
          <c:tx>
            <c:strRef>
              <c:f>'Задание 1'!$M$2</c:f>
              <c:strCache>
                <c:ptCount val="1"/>
                <c:pt idx="0">
                  <c:v>Декабрь</c:v>
                </c:pt>
              </c:strCache>
            </c:strRef>
          </c:tx>
          <c:spPr>
            <a:solidFill>
              <a:srgbClr val="F8B590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1'!$M$3:$M$8</c:f>
              <c:numCache>
                <c:formatCode>General</c:formatCode>
                <c:ptCount val="6"/>
                <c:pt idx="0">
                  <c:v>-6</c:v>
                </c:pt>
                <c:pt idx="1">
                  <c:v>-6</c:v>
                </c:pt>
                <c:pt idx="2">
                  <c:v>-5</c:v>
                </c:pt>
                <c:pt idx="3">
                  <c:v>-5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5CA-4A74-BF21-0E2EBD09F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327486"/>
        <c:axId val="12932851"/>
      </c:barChart>
      <c:catAx>
        <c:axId val="63327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32851"/>
        <c:crosses val="autoZero"/>
        <c:auto val="1"/>
        <c:lblAlgn val="ctr"/>
        <c:lblOffset val="100"/>
        <c:noMultiLvlLbl val="0"/>
      </c:catAx>
      <c:valAx>
        <c:axId val="129328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Температура (°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32748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Средняя температура по регионам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'Задание 1'!$N$2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724-4AEF-8BCF-5555749FFE9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724-4AEF-8BCF-5555749FFE9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724-4AEF-8BCF-5555749FFE9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724-4AEF-8BCF-5555749FFE9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724-4AEF-8BCF-5555749FFE94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724-4AEF-8BCF-5555749FFE94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724-4AEF-8BCF-5555749FFE94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724-4AEF-8BCF-5555749FFE94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724-4AEF-8BCF-5555749FFE94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724-4AEF-8BCF-5555749FFE94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1724-4AEF-8BCF-5555749FFE94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1724-4AEF-8BCF-5555749FFE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'Задание 1'!$A$3:$A$8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1'!$N$3:$N$8</c:f>
              <c:numCache>
                <c:formatCode>0.00</c:formatCode>
                <c:ptCount val="6"/>
                <c:pt idx="0">
                  <c:v>10.166666666666666</c:v>
                </c:pt>
                <c:pt idx="1">
                  <c:v>9.5833333333333339</c:v>
                </c:pt>
                <c:pt idx="2">
                  <c:v>10.166666666666666</c:v>
                </c:pt>
                <c:pt idx="3">
                  <c:v>11.166666666666666</c:v>
                </c:pt>
                <c:pt idx="4">
                  <c:v>13.5</c:v>
                </c:pt>
                <c:pt idx="5">
                  <c:v>15.333333333333334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724-4AEF-8BCF-5555749FF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Дата изготовления товаров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2'!$C$2</c:f>
              <c:strCache>
                <c:ptCount val="1"/>
                <c:pt idx="0">
                  <c:v>Дата
изготовления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'Задание 2'!$A$3:$A$12</c:f>
              <c:strCache>
                <c:ptCount val="10"/>
                <c:pt idx="0">
                  <c:v>Конфеты "Батончик"</c:v>
                </c:pt>
                <c:pt idx="1">
                  <c:v>Печенье "Юбилейное"</c:v>
                </c:pt>
                <c:pt idx="2">
                  <c:v>Конфеты "Белочка"</c:v>
                </c:pt>
                <c:pt idx="3">
                  <c:v>Конфеты "К чаю"</c:v>
                </c:pt>
                <c:pt idx="4">
                  <c:v>Конфеты "Космос"</c:v>
                </c:pt>
                <c:pt idx="5">
                  <c:v>Печенье "Овсяное"</c:v>
                </c:pt>
                <c:pt idx="6">
                  <c:v>Печенье "Дамское"</c:v>
                </c:pt>
                <c:pt idx="7">
                  <c:v>Конфеты "Вечерние"</c:v>
                </c:pt>
                <c:pt idx="8">
                  <c:v>Печенье "Лакомка"</c:v>
                </c:pt>
                <c:pt idx="9">
                  <c:v>Печенье "Южное"</c:v>
                </c:pt>
              </c:strCache>
            </c:strRef>
          </c:cat>
          <c:val>
            <c:numRef>
              <c:f>'Задание 2'!$C$3:$C$12</c:f>
              <c:numCache>
                <c:formatCode>dd\.mm\.yy</c:formatCode>
                <c:ptCount val="10"/>
                <c:pt idx="0">
                  <c:v>39665</c:v>
                </c:pt>
                <c:pt idx="1">
                  <c:v>39396</c:v>
                </c:pt>
                <c:pt idx="2">
                  <c:v>39654</c:v>
                </c:pt>
                <c:pt idx="3">
                  <c:v>39360</c:v>
                </c:pt>
                <c:pt idx="4">
                  <c:v>39690</c:v>
                </c:pt>
                <c:pt idx="5">
                  <c:v>39478</c:v>
                </c:pt>
                <c:pt idx="6">
                  <c:v>39358</c:v>
                </c:pt>
                <c:pt idx="7">
                  <c:v>39706</c:v>
                </c:pt>
                <c:pt idx="8">
                  <c:v>39634</c:v>
                </c:pt>
                <c:pt idx="9">
                  <c:v>39481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E-4F8A-B724-89CC5D67D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355664"/>
        <c:axId val="94409649"/>
      </c:barChart>
      <c:catAx>
        <c:axId val="84355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409649"/>
        <c:crosses val="autoZero"/>
        <c:auto val="1"/>
        <c:lblAlgn val="ctr"/>
        <c:lblOffset val="100"/>
        <c:noMultiLvlLbl val="0"/>
      </c:catAx>
      <c:valAx>
        <c:axId val="94409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dd\.mm\.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35566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13</xdr:col>
      <xdr:colOff>352800</xdr:colOff>
      <xdr:row>35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25</xdr:col>
      <xdr:colOff>364680</xdr:colOff>
      <xdr:row>35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613800</xdr:rowOff>
    </xdr:from>
    <xdr:to>
      <xdr:col>18</xdr:col>
      <xdr:colOff>442440</xdr:colOff>
      <xdr:row>26</xdr:row>
      <xdr:rowOff>92520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Normal="100" workbookViewId="0">
      <selection sqref="A1:N1"/>
    </sheetView>
  </sheetViews>
  <sheetFormatPr defaultColWidth="8.6640625" defaultRowHeight="14.4" x14ac:dyDescent="0.3"/>
  <cols>
    <col min="1" max="1" width="18" customWidth="1"/>
    <col min="2" max="14" width="10" customWidth="1"/>
  </cols>
  <sheetData>
    <row r="1" spans="1:14" ht="15.7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0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spans="1:14" ht="15" customHeight="1" x14ac:dyDescent="0.3">
      <c r="A3" s="1" t="s">
        <v>15</v>
      </c>
      <c r="B3" s="2">
        <v>-11</v>
      </c>
      <c r="C3" s="2">
        <v>-5</v>
      </c>
      <c r="D3" s="2">
        <v>7</v>
      </c>
      <c r="E3" s="2">
        <v>14</v>
      </c>
      <c r="F3" s="2">
        <v>20</v>
      </c>
      <c r="G3" s="2">
        <v>24</v>
      </c>
      <c r="H3" s="2">
        <v>26</v>
      </c>
      <c r="I3" s="2">
        <v>25</v>
      </c>
      <c r="J3" s="2">
        <v>18</v>
      </c>
      <c r="K3" s="2">
        <v>9</v>
      </c>
      <c r="L3" s="2">
        <v>1</v>
      </c>
      <c r="M3" s="2">
        <v>-6</v>
      </c>
      <c r="N3" s="8">
        <f t="shared" ref="N3:N8" si="0">AVERAGE(B3:M3)</f>
        <v>10.166666666666666</v>
      </c>
    </row>
    <row r="4" spans="1:14" ht="15" customHeight="1" x14ac:dyDescent="0.3">
      <c r="A4" s="1" t="s">
        <v>16</v>
      </c>
      <c r="B4" s="2">
        <v>-10</v>
      </c>
      <c r="C4" s="2">
        <v>-5</v>
      </c>
      <c r="D4" s="2">
        <v>6</v>
      </c>
      <c r="E4" s="2">
        <v>13</v>
      </c>
      <c r="F4" s="2">
        <v>19</v>
      </c>
      <c r="G4" s="2">
        <v>23</v>
      </c>
      <c r="H4" s="2">
        <v>25</v>
      </c>
      <c r="I4" s="2">
        <v>24</v>
      </c>
      <c r="J4" s="2">
        <v>17</v>
      </c>
      <c r="K4" s="2">
        <v>8</v>
      </c>
      <c r="L4" s="2">
        <v>1</v>
      </c>
      <c r="M4" s="2">
        <v>-6</v>
      </c>
      <c r="N4" s="8">
        <f t="shared" si="0"/>
        <v>9.5833333333333339</v>
      </c>
    </row>
    <row r="5" spans="1:14" ht="15" customHeight="1" x14ac:dyDescent="0.3">
      <c r="A5" s="1" t="s">
        <v>17</v>
      </c>
      <c r="B5" s="2">
        <v>-8</v>
      </c>
      <c r="C5" s="2">
        <v>-6</v>
      </c>
      <c r="D5" s="2">
        <v>5</v>
      </c>
      <c r="E5" s="2">
        <v>13</v>
      </c>
      <c r="F5" s="2">
        <v>20</v>
      </c>
      <c r="G5" s="2">
        <v>24</v>
      </c>
      <c r="H5" s="2">
        <v>26</v>
      </c>
      <c r="I5" s="2">
        <v>25</v>
      </c>
      <c r="J5" s="2">
        <v>18</v>
      </c>
      <c r="K5" s="2">
        <v>9</v>
      </c>
      <c r="L5" s="2">
        <v>1</v>
      </c>
      <c r="M5" s="2">
        <v>-5</v>
      </c>
      <c r="N5" s="8">
        <f t="shared" si="0"/>
        <v>10.166666666666666</v>
      </c>
    </row>
    <row r="6" spans="1:14" ht="15" customHeight="1" x14ac:dyDescent="0.3">
      <c r="A6" s="1" t="s">
        <v>18</v>
      </c>
      <c r="B6" s="2">
        <v>-9</v>
      </c>
      <c r="C6" s="2">
        <v>-5</v>
      </c>
      <c r="D6" s="2">
        <v>8</v>
      </c>
      <c r="E6" s="2">
        <v>15</v>
      </c>
      <c r="F6" s="2">
        <v>21</v>
      </c>
      <c r="G6" s="2">
        <v>25</v>
      </c>
      <c r="H6" s="2">
        <v>27</v>
      </c>
      <c r="I6" s="2">
        <v>26</v>
      </c>
      <c r="J6" s="2">
        <v>19</v>
      </c>
      <c r="K6" s="2">
        <v>10</v>
      </c>
      <c r="L6" s="2">
        <v>2</v>
      </c>
      <c r="M6" s="2">
        <v>-5</v>
      </c>
      <c r="N6" s="8">
        <f t="shared" si="0"/>
        <v>11.166666666666666</v>
      </c>
    </row>
    <row r="7" spans="1:14" ht="15" customHeight="1" x14ac:dyDescent="0.3">
      <c r="A7" s="1" t="s">
        <v>19</v>
      </c>
      <c r="B7" s="2">
        <v>-5</v>
      </c>
      <c r="C7" s="2">
        <v>-1</v>
      </c>
      <c r="D7" s="2">
        <v>10</v>
      </c>
      <c r="E7" s="2">
        <v>16</v>
      </c>
      <c r="F7" s="2">
        <v>22</v>
      </c>
      <c r="G7" s="2">
        <v>26</v>
      </c>
      <c r="H7" s="2">
        <v>28</v>
      </c>
      <c r="I7" s="2">
        <v>27</v>
      </c>
      <c r="J7" s="2">
        <v>21</v>
      </c>
      <c r="K7" s="2">
        <v>13</v>
      </c>
      <c r="L7" s="2">
        <v>5</v>
      </c>
      <c r="M7" s="2">
        <v>0</v>
      </c>
      <c r="N7" s="8">
        <f t="shared" si="0"/>
        <v>13.5</v>
      </c>
    </row>
    <row r="8" spans="1:14" ht="15" customHeight="1" x14ac:dyDescent="0.3">
      <c r="A8" s="1" t="s">
        <v>20</v>
      </c>
      <c r="B8" s="2">
        <v>-5</v>
      </c>
      <c r="C8" s="2">
        <v>1</v>
      </c>
      <c r="D8" s="2">
        <v>15</v>
      </c>
      <c r="E8" s="2">
        <v>19</v>
      </c>
      <c r="F8" s="2">
        <v>24</v>
      </c>
      <c r="G8" s="2">
        <v>28</v>
      </c>
      <c r="H8" s="2">
        <v>30</v>
      </c>
      <c r="I8" s="2">
        <v>29</v>
      </c>
      <c r="J8" s="2">
        <v>23</v>
      </c>
      <c r="K8" s="2">
        <v>14</v>
      </c>
      <c r="L8" s="2">
        <v>6</v>
      </c>
      <c r="M8" s="2">
        <v>0</v>
      </c>
      <c r="N8" s="8">
        <f t="shared" si="0"/>
        <v>15.333333333333334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14" customWidth="1"/>
    <col min="3" max="3" width="16" customWidth="1"/>
    <col min="4" max="4" width="14" customWidth="1"/>
    <col min="5" max="5" width="18" customWidth="1"/>
    <col min="6" max="6" width="20" customWidth="1"/>
    <col min="8" max="9" width="14" customWidth="1"/>
  </cols>
  <sheetData>
    <row r="1" spans="1:9" ht="15.75" customHeight="1" x14ac:dyDescent="0.3">
      <c r="A1" s="9" t="s">
        <v>21</v>
      </c>
      <c r="B1" s="10"/>
      <c r="C1" s="10"/>
      <c r="D1" s="10"/>
      <c r="E1" s="10"/>
      <c r="F1" s="10"/>
      <c r="H1" s="3" t="s">
        <v>22</v>
      </c>
      <c r="I1" s="4">
        <v>39753</v>
      </c>
    </row>
    <row r="2" spans="1:9" ht="49.5" customHeight="1" x14ac:dyDescent="0.3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</row>
    <row r="3" spans="1:9" ht="15" customHeight="1" x14ac:dyDescent="0.3">
      <c r="A3" s="5" t="s">
        <v>29</v>
      </c>
      <c r="B3" s="5" t="s">
        <v>30</v>
      </c>
      <c r="C3" s="6">
        <v>39665</v>
      </c>
      <c r="D3" s="5">
        <v>3</v>
      </c>
      <c r="E3" s="5">
        <f t="shared" ref="E3:E12" si="0">(YEAR($I$1)-YEAR(C3))*12+(MONTH($I$1)-MONTH(C3))</f>
        <v>3</v>
      </c>
      <c r="F3" s="5" t="str">
        <f t="shared" ref="F3:F12" si="1">IF((YEAR($I$1)-YEAR(C3))*12+(MONTH($I$1)-MONTH(C3))&gt;=D3,"Выбросить",IF((YEAR($I$1)-YEAR(C3))*12+(MONTH($I$1)-MONTH(C3))&gt;=D3-1,"Срочно продавать","Можно еще хранить"))</f>
        <v>Выбросить</v>
      </c>
    </row>
    <row r="4" spans="1:9" ht="15" customHeight="1" x14ac:dyDescent="0.3">
      <c r="A4" s="5" t="s">
        <v>31</v>
      </c>
      <c r="B4" s="5" t="s">
        <v>32</v>
      </c>
      <c r="C4" s="6">
        <v>39396</v>
      </c>
      <c r="D4" s="5">
        <v>12</v>
      </c>
      <c r="E4" s="5">
        <f t="shared" si="0"/>
        <v>12</v>
      </c>
      <c r="F4" s="5" t="str">
        <f t="shared" si="1"/>
        <v>Выбросить</v>
      </c>
    </row>
    <row r="5" spans="1:9" ht="15" customHeight="1" x14ac:dyDescent="0.3">
      <c r="A5" s="5" t="s">
        <v>33</v>
      </c>
      <c r="B5" s="5" t="s">
        <v>30</v>
      </c>
      <c r="C5" s="6">
        <v>39654</v>
      </c>
      <c r="D5" s="5">
        <v>6</v>
      </c>
      <c r="E5" s="5">
        <f t="shared" si="0"/>
        <v>4</v>
      </c>
      <c r="F5" s="5" t="str">
        <f t="shared" si="1"/>
        <v>Можно еще хранить</v>
      </c>
    </row>
    <row r="6" spans="1:9" ht="15" customHeight="1" x14ac:dyDescent="0.3">
      <c r="A6" s="5" t="s">
        <v>34</v>
      </c>
      <c r="B6" s="5" t="s">
        <v>30</v>
      </c>
      <c r="C6" s="6">
        <v>39360</v>
      </c>
      <c r="D6" s="5">
        <v>5</v>
      </c>
      <c r="E6" s="5">
        <f t="shared" si="0"/>
        <v>13</v>
      </c>
      <c r="F6" s="5" t="str">
        <f t="shared" si="1"/>
        <v>Выбросить</v>
      </c>
    </row>
    <row r="7" spans="1:9" ht="15" customHeight="1" x14ac:dyDescent="0.3">
      <c r="A7" s="5" t="s">
        <v>35</v>
      </c>
      <c r="B7" s="5" t="s">
        <v>30</v>
      </c>
      <c r="C7" s="6">
        <v>39690</v>
      </c>
      <c r="D7" s="5">
        <v>3</v>
      </c>
      <c r="E7" s="5">
        <f t="shared" si="0"/>
        <v>3</v>
      </c>
      <c r="F7" s="5" t="str">
        <f t="shared" si="1"/>
        <v>Выбросить</v>
      </c>
    </row>
    <row r="8" spans="1:9" ht="15" customHeight="1" x14ac:dyDescent="0.3">
      <c r="A8" s="5" t="s">
        <v>36</v>
      </c>
      <c r="B8" s="5" t="s">
        <v>32</v>
      </c>
      <c r="C8" s="6">
        <v>39478</v>
      </c>
      <c r="D8" s="5">
        <v>6</v>
      </c>
      <c r="E8" s="5">
        <f t="shared" si="0"/>
        <v>10</v>
      </c>
      <c r="F8" s="5" t="str">
        <f t="shared" si="1"/>
        <v>Выбросить</v>
      </c>
    </row>
    <row r="9" spans="1:9" ht="15" customHeight="1" x14ac:dyDescent="0.3">
      <c r="A9" s="5" t="s">
        <v>37</v>
      </c>
      <c r="B9" s="5" t="s">
        <v>32</v>
      </c>
      <c r="C9" s="6">
        <v>39358</v>
      </c>
      <c r="D9" s="5">
        <v>4</v>
      </c>
      <c r="E9" s="5">
        <f t="shared" si="0"/>
        <v>13</v>
      </c>
      <c r="F9" s="5" t="str">
        <f t="shared" si="1"/>
        <v>Выбросить</v>
      </c>
    </row>
    <row r="10" spans="1:9" ht="15" customHeight="1" x14ac:dyDescent="0.3">
      <c r="A10" s="5" t="s">
        <v>38</v>
      </c>
      <c r="B10" s="5" t="s">
        <v>30</v>
      </c>
      <c r="C10" s="6">
        <v>39706</v>
      </c>
      <c r="D10" s="5">
        <v>12</v>
      </c>
      <c r="E10" s="5">
        <f t="shared" si="0"/>
        <v>2</v>
      </c>
      <c r="F10" s="5" t="str">
        <f t="shared" si="1"/>
        <v>Можно еще хранить</v>
      </c>
    </row>
    <row r="11" spans="1:9" ht="15" customHeight="1" x14ac:dyDescent="0.3">
      <c r="A11" s="5" t="s">
        <v>39</v>
      </c>
      <c r="B11" s="5" t="s">
        <v>32</v>
      </c>
      <c r="C11" s="6">
        <v>39634</v>
      </c>
      <c r="D11" s="5">
        <v>9</v>
      </c>
      <c r="E11" s="5">
        <f t="shared" si="0"/>
        <v>4</v>
      </c>
      <c r="F11" s="5" t="str">
        <f t="shared" si="1"/>
        <v>Можно еще хранить</v>
      </c>
    </row>
    <row r="12" spans="1:9" ht="15" customHeight="1" x14ac:dyDescent="0.3">
      <c r="A12" s="5" t="s">
        <v>40</v>
      </c>
      <c r="B12" s="5" t="s">
        <v>32</v>
      </c>
      <c r="C12" s="6">
        <v>39481</v>
      </c>
      <c r="D12" s="5">
        <v>10</v>
      </c>
      <c r="E12" s="5">
        <f t="shared" si="0"/>
        <v>9</v>
      </c>
      <c r="F12" s="5" t="str">
        <f t="shared" si="1"/>
        <v>Срочно продавать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Байгабулов Абылай Даулетбаевич</cp:lastModifiedBy>
  <cp:revision>2</cp:revision>
  <dcterms:created xsi:type="dcterms:W3CDTF">2026-06-03T06:23:58Z</dcterms:created>
  <dcterms:modified xsi:type="dcterms:W3CDTF">2026-06-08T05:01:20Z</dcterms:modified>
  <dc:language>en-US</dc:language>
</cp:coreProperties>
</file>